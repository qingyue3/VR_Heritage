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89464\Desktop\MasterProject\"/>
    </mc:Choice>
  </mc:AlternateContent>
  <xr:revisionPtr revIDLastSave="0" documentId="13_ncr:1_{870E8EEE-9337-438F-AB75-F0C16265AB57}" xr6:coauthVersionLast="47" xr6:coauthVersionMax="47" xr10:uidLastSave="{00000000-0000-0000-0000-000000000000}"/>
  <bookViews>
    <workbookView xWindow="2685" yWindow="2685" windowWidth="28800" windowHeight="1530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" i="2" l="1"/>
  <c r="T7" i="2"/>
  <c r="I7" i="2"/>
  <c r="G7" i="2"/>
  <c r="E7" i="2"/>
  <c r="C7" i="2"/>
  <c r="W6" i="2"/>
  <c r="T6" i="2"/>
  <c r="I6" i="2"/>
  <c r="G6" i="2"/>
  <c r="E6" i="2"/>
  <c r="C6" i="2"/>
  <c r="W5" i="2"/>
  <c r="T5" i="2"/>
  <c r="I5" i="2"/>
  <c r="G5" i="2"/>
  <c r="E5" i="2"/>
  <c r="C5" i="2"/>
  <c r="W4" i="2"/>
  <c r="T4" i="2"/>
  <c r="I4" i="2"/>
  <c r="G4" i="2"/>
  <c r="E4" i="2"/>
  <c r="C4" i="2"/>
  <c r="W3" i="2"/>
  <c r="T3" i="2"/>
  <c r="I3" i="2"/>
  <c r="G3" i="2"/>
  <c r="E3" i="2"/>
  <c r="C3" i="2"/>
  <c r="W2" i="2"/>
  <c r="T2" i="2"/>
  <c r="I2" i="2"/>
  <c r="G2" i="2"/>
  <c r="E2" i="2"/>
  <c r="C2" i="2"/>
  <c r="W7" i="1"/>
  <c r="T7" i="1"/>
  <c r="I7" i="1"/>
  <c r="G7" i="1"/>
  <c r="E7" i="1"/>
  <c r="C7" i="1"/>
  <c r="W6" i="1"/>
  <c r="T6" i="1"/>
  <c r="I6" i="1"/>
  <c r="G6" i="1"/>
  <c r="E6" i="1"/>
  <c r="C6" i="1"/>
  <c r="W5" i="1"/>
  <c r="T5" i="1"/>
  <c r="I5" i="1"/>
  <c r="G5" i="1"/>
  <c r="E5" i="1"/>
  <c r="C5" i="1"/>
  <c r="W4" i="1"/>
  <c r="T4" i="1"/>
  <c r="I4" i="1"/>
  <c r="G4" i="1"/>
  <c r="E4" i="1"/>
  <c r="C4" i="1"/>
  <c r="W3" i="1"/>
  <c r="T3" i="1"/>
  <c r="I3" i="1"/>
  <c r="G3" i="1"/>
  <c r="E3" i="1"/>
  <c r="C3" i="1"/>
  <c r="W2" i="1"/>
  <c r="T2" i="1"/>
  <c r="I2" i="1"/>
  <c r="G2" i="1"/>
  <c r="E2" i="1"/>
  <c r="C2" i="1"/>
</calcChain>
</file>

<file path=xl/sharedStrings.xml><?xml version="1.0" encoding="utf-8"?>
<sst xmlns="http://schemas.openxmlformats.org/spreadsheetml/2006/main" count="58" uniqueCount="25">
  <si>
    <t>Sequence (AB/BA)</t>
    <phoneticPr fontId="1" type="noConversion"/>
  </si>
  <si>
    <t>P1 correct</t>
    <phoneticPr fontId="1" type="noConversion"/>
  </si>
  <si>
    <t>P1 Score (0-100)</t>
    <phoneticPr fontId="1" type="noConversion"/>
  </si>
  <si>
    <t>P2 correct</t>
    <phoneticPr fontId="1" type="noConversion"/>
  </si>
  <si>
    <t>P2 Score (0-100)</t>
    <phoneticPr fontId="1" type="noConversion"/>
  </si>
  <si>
    <t>P1' correct</t>
    <phoneticPr fontId="1" type="noConversion"/>
  </si>
  <si>
    <t>P1' Score (0-100)</t>
    <phoneticPr fontId="1" type="noConversion"/>
  </si>
  <si>
    <t>P2' correct</t>
    <phoneticPr fontId="1" type="noConversion"/>
  </si>
  <si>
    <t>P2' Score (0-100)</t>
    <phoneticPr fontId="1" type="noConversion"/>
  </si>
  <si>
    <t>SUS-01</t>
    <phoneticPr fontId="1" type="noConversion"/>
  </si>
  <si>
    <t>SUS-02</t>
    <phoneticPr fontId="1" type="noConversion"/>
  </si>
  <si>
    <t>SUS-03</t>
    <phoneticPr fontId="1" type="noConversion"/>
  </si>
  <si>
    <t>SUS-04</t>
  </si>
  <si>
    <t>SUS-05</t>
  </si>
  <si>
    <t>SUS-06</t>
  </si>
  <si>
    <t>SUS-07</t>
  </si>
  <si>
    <t>SUS-08</t>
  </si>
  <si>
    <t>SUS-09</t>
  </si>
  <si>
    <t>SUS-10</t>
  </si>
  <si>
    <t>SUS Total (0–100)</t>
    <phoneticPr fontId="1" type="noConversion"/>
  </si>
  <si>
    <t>Coverage</t>
    <phoneticPr fontId="1" type="noConversion"/>
  </si>
  <si>
    <t>Click Engagement</t>
  </si>
  <si>
    <t>Revisit Ratio</t>
    <phoneticPr fontId="1" type="noConversion"/>
  </si>
  <si>
    <t>AB</t>
    <phoneticPr fontId="1" type="noConversion"/>
  </si>
  <si>
    <t>BA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</si>
</sst>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"/>
  <sheetViews>
    <sheetView zoomScaleNormal="100" workbookViewId="0"/>
  </sheetViews>
  <sheetFormatPr defaultRowHeight="14.25" x14ac:dyDescent="0.2"/>
  <sheetData>
    <row r="1" spans="1:23" ht="4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1" t="s">
        <v>23</v>
      </c>
      <c r="B2" s="1">
        <v>5</v>
      </c>
      <c r="C2" s="1">
        <f t="shared" ref="C2:C7" si="0">B2/7*100</f>
        <v>71.428571428571431</v>
      </c>
      <c r="D2" s="1">
        <v>4</v>
      </c>
      <c r="E2" s="1">
        <f t="shared" ref="E2:E7" si="1">D2/8*100</f>
        <v>50</v>
      </c>
      <c r="F2" s="1">
        <v>5</v>
      </c>
      <c r="G2" s="1">
        <f t="shared" ref="G2:G7" si="2">F2/7*100</f>
        <v>71.428571428571431</v>
      </c>
      <c r="H2" s="1">
        <v>3</v>
      </c>
      <c r="I2" s="1">
        <f t="shared" ref="I2:I7" si="3">H2/8*100</f>
        <v>37.5</v>
      </c>
      <c r="J2" s="1">
        <v>5</v>
      </c>
      <c r="K2" s="1">
        <v>2</v>
      </c>
      <c r="L2" s="1">
        <v>5</v>
      </c>
      <c r="M2" s="1">
        <v>3</v>
      </c>
      <c r="N2" s="1">
        <v>5</v>
      </c>
      <c r="O2" s="1">
        <v>1</v>
      </c>
      <c r="P2" s="1">
        <v>5</v>
      </c>
      <c r="Q2" s="1">
        <v>1</v>
      </c>
      <c r="R2" s="1">
        <v>5</v>
      </c>
      <c r="S2" s="1">
        <v>1</v>
      </c>
      <c r="T2" s="1">
        <f t="shared" ref="T2:T7" si="4">(SUM(J2,L2,N2,P2,R2)-5+(25-SUM(K2,M2,O2,Q2,S2)))*2.5</f>
        <v>92.5</v>
      </c>
      <c r="U2" s="1">
        <v>4</v>
      </c>
      <c r="V2" s="1">
        <v>6</v>
      </c>
      <c r="W2" s="1">
        <f t="shared" ref="W2:W7" si="5">(V2-U2)/V2</f>
        <v>0.33333333333333331</v>
      </c>
    </row>
    <row r="3" spans="1:23" x14ac:dyDescent="0.2">
      <c r="A3" s="1" t="s">
        <v>23</v>
      </c>
      <c r="B3" s="1">
        <v>6</v>
      </c>
      <c r="C3" s="1">
        <f t="shared" si="0"/>
        <v>85.714285714285708</v>
      </c>
      <c r="D3" s="1">
        <v>5</v>
      </c>
      <c r="E3" s="1">
        <f t="shared" si="1"/>
        <v>62.5</v>
      </c>
      <c r="F3" s="1">
        <v>5</v>
      </c>
      <c r="G3" s="1">
        <f t="shared" si="2"/>
        <v>71.428571428571431</v>
      </c>
      <c r="H3" s="1">
        <v>3</v>
      </c>
      <c r="I3" s="1">
        <f t="shared" si="3"/>
        <v>37.5</v>
      </c>
      <c r="J3" s="1">
        <v>5</v>
      </c>
      <c r="K3" s="1">
        <v>3</v>
      </c>
      <c r="L3" s="1">
        <v>5</v>
      </c>
      <c r="M3" s="1">
        <v>3</v>
      </c>
      <c r="N3" s="1">
        <v>5</v>
      </c>
      <c r="O3" s="1">
        <v>2</v>
      </c>
      <c r="P3" s="1">
        <v>5</v>
      </c>
      <c r="Q3" s="1">
        <v>2</v>
      </c>
      <c r="R3" s="1">
        <v>3</v>
      </c>
      <c r="S3" s="1">
        <v>2</v>
      </c>
      <c r="T3" s="1">
        <f t="shared" si="4"/>
        <v>77.5</v>
      </c>
      <c r="U3" s="1">
        <v>6</v>
      </c>
      <c r="V3" s="1">
        <v>7</v>
      </c>
      <c r="W3" s="1">
        <f t="shared" si="5"/>
        <v>0.14285714285714285</v>
      </c>
    </row>
    <row r="4" spans="1:23" x14ac:dyDescent="0.2">
      <c r="A4" s="1" t="s">
        <v>23</v>
      </c>
      <c r="B4" s="1">
        <v>3</v>
      </c>
      <c r="C4" s="1">
        <f t="shared" si="0"/>
        <v>42.857142857142854</v>
      </c>
      <c r="D4" s="1">
        <v>3</v>
      </c>
      <c r="E4" s="1">
        <f t="shared" si="1"/>
        <v>37.5</v>
      </c>
      <c r="F4" s="1">
        <v>3</v>
      </c>
      <c r="G4" s="1">
        <f t="shared" si="2"/>
        <v>42.857142857142854</v>
      </c>
      <c r="H4" s="1">
        <v>5</v>
      </c>
      <c r="I4" s="1">
        <f t="shared" si="3"/>
        <v>62.5</v>
      </c>
      <c r="J4" s="1">
        <v>3</v>
      </c>
      <c r="K4" s="1">
        <v>3</v>
      </c>
      <c r="L4" s="1">
        <v>3</v>
      </c>
      <c r="M4" s="1">
        <v>3</v>
      </c>
      <c r="N4" s="1">
        <v>5</v>
      </c>
      <c r="O4" s="1">
        <v>2</v>
      </c>
      <c r="P4" s="1">
        <v>3</v>
      </c>
      <c r="Q4" s="1">
        <v>2</v>
      </c>
      <c r="R4" s="1">
        <v>3</v>
      </c>
      <c r="S4" s="1">
        <v>5</v>
      </c>
      <c r="T4" s="1">
        <f t="shared" si="4"/>
        <v>55</v>
      </c>
      <c r="U4" s="1">
        <v>3</v>
      </c>
      <c r="V4" s="1">
        <v>5</v>
      </c>
      <c r="W4" s="1">
        <f t="shared" si="5"/>
        <v>0.4</v>
      </c>
    </row>
    <row r="5" spans="1:23" x14ac:dyDescent="0.2">
      <c r="A5" s="1" t="s">
        <v>23</v>
      </c>
      <c r="B5" s="1">
        <v>7</v>
      </c>
      <c r="C5" s="1">
        <f t="shared" si="0"/>
        <v>100</v>
      </c>
      <c r="D5" s="1">
        <v>7</v>
      </c>
      <c r="E5" s="1">
        <f t="shared" si="1"/>
        <v>87.5</v>
      </c>
      <c r="F5" s="1">
        <v>7</v>
      </c>
      <c r="G5" s="1">
        <f t="shared" si="2"/>
        <v>100</v>
      </c>
      <c r="H5" s="1">
        <v>5</v>
      </c>
      <c r="I5" s="1">
        <f t="shared" si="3"/>
        <v>62.5</v>
      </c>
      <c r="J5" s="1">
        <v>5</v>
      </c>
      <c r="K5" s="1">
        <v>1</v>
      </c>
      <c r="L5" s="1">
        <v>5</v>
      </c>
      <c r="M5" s="1">
        <v>2</v>
      </c>
      <c r="N5" s="1">
        <v>4</v>
      </c>
      <c r="O5" s="1">
        <v>1</v>
      </c>
      <c r="P5" s="1">
        <v>5</v>
      </c>
      <c r="Q5" s="1">
        <v>2</v>
      </c>
      <c r="R5" s="1">
        <v>4</v>
      </c>
      <c r="S5" s="1">
        <v>1</v>
      </c>
      <c r="T5" s="1">
        <f t="shared" si="4"/>
        <v>90</v>
      </c>
      <c r="U5" s="1">
        <v>5</v>
      </c>
      <c r="V5" s="1">
        <v>8</v>
      </c>
      <c r="W5" s="1">
        <f t="shared" si="5"/>
        <v>0.375</v>
      </c>
    </row>
    <row r="6" spans="1:23" x14ac:dyDescent="0.2">
      <c r="A6" s="1" t="s">
        <v>23</v>
      </c>
      <c r="B6" s="1">
        <v>4</v>
      </c>
      <c r="C6" s="1">
        <f t="shared" si="0"/>
        <v>57.142857142857139</v>
      </c>
      <c r="D6" s="1">
        <v>5</v>
      </c>
      <c r="E6" s="1">
        <f t="shared" si="1"/>
        <v>62.5</v>
      </c>
      <c r="F6" s="1">
        <v>4</v>
      </c>
      <c r="G6" s="1">
        <f t="shared" si="2"/>
        <v>57.142857142857139</v>
      </c>
      <c r="H6" s="1">
        <v>5</v>
      </c>
      <c r="I6" s="1">
        <f t="shared" si="3"/>
        <v>62.5</v>
      </c>
      <c r="J6" s="1">
        <v>4</v>
      </c>
      <c r="K6" s="1">
        <v>2</v>
      </c>
      <c r="L6" s="1">
        <v>4</v>
      </c>
      <c r="M6" s="1">
        <v>1</v>
      </c>
      <c r="N6" s="1">
        <v>4</v>
      </c>
      <c r="O6" s="1">
        <v>1</v>
      </c>
      <c r="P6" s="1">
        <v>5</v>
      </c>
      <c r="Q6" s="1">
        <v>1</v>
      </c>
      <c r="R6" s="1">
        <v>5</v>
      </c>
      <c r="S6" s="1">
        <v>3</v>
      </c>
      <c r="T6" s="1">
        <f t="shared" si="4"/>
        <v>85</v>
      </c>
      <c r="U6" s="1">
        <v>3</v>
      </c>
      <c r="V6" s="1">
        <v>6</v>
      </c>
      <c r="W6" s="1">
        <f t="shared" si="5"/>
        <v>0.5</v>
      </c>
    </row>
    <row r="7" spans="1:23" x14ac:dyDescent="0.2">
      <c r="A7" s="1" t="s">
        <v>23</v>
      </c>
      <c r="B7" s="1">
        <v>3</v>
      </c>
      <c r="C7" s="1">
        <f t="shared" si="0"/>
        <v>42.857142857142854</v>
      </c>
      <c r="D7" s="1">
        <v>5</v>
      </c>
      <c r="E7" s="1">
        <f t="shared" si="1"/>
        <v>62.5</v>
      </c>
      <c r="F7" s="1">
        <v>3</v>
      </c>
      <c r="G7" s="1">
        <f t="shared" si="2"/>
        <v>42.857142857142854</v>
      </c>
      <c r="H7" s="1">
        <v>5</v>
      </c>
      <c r="I7" s="1">
        <f t="shared" si="3"/>
        <v>62.5</v>
      </c>
      <c r="J7" s="1">
        <v>3</v>
      </c>
      <c r="K7" s="1">
        <v>3</v>
      </c>
      <c r="L7" s="1">
        <v>4</v>
      </c>
      <c r="M7" s="1">
        <v>3</v>
      </c>
      <c r="N7" s="1">
        <v>5</v>
      </c>
      <c r="O7" s="1">
        <v>2</v>
      </c>
      <c r="P7" s="1">
        <v>3</v>
      </c>
      <c r="Q7" s="1">
        <v>3</v>
      </c>
      <c r="R7" s="1">
        <v>3</v>
      </c>
      <c r="S7" s="1">
        <v>4</v>
      </c>
      <c r="T7" s="1">
        <f t="shared" si="4"/>
        <v>57.5</v>
      </c>
      <c r="U7" s="1">
        <v>3</v>
      </c>
      <c r="V7" s="1">
        <v>7</v>
      </c>
      <c r="W7" s="1">
        <f t="shared" si="5"/>
        <v>0.5714285714285714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0A1AD-E990-4FCA-9344-493A6B6F5EF9}">
  <dimension ref="A1:W7"/>
  <sheetViews>
    <sheetView tabSelected="1" workbookViewId="0">
      <selection activeCell="J15" sqref="J15"/>
    </sheetView>
  </sheetViews>
  <sheetFormatPr defaultRowHeight="14.25" x14ac:dyDescent="0.2"/>
  <sheetData>
    <row r="1" spans="1:23" ht="4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1" t="s">
        <v>24</v>
      </c>
      <c r="B2" s="1">
        <v>3</v>
      </c>
      <c r="C2" s="1">
        <f t="shared" ref="C2:C7" si="0">B2/7*100</f>
        <v>42.857142857142854</v>
      </c>
      <c r="D2" s="1">
        <v>4</v>
      </c>
      <c r="E2" s="1">
        <f t="shared" ref="E2:E7" si="1">D2/8*100</f>
        <v>50</v>
      </c>
      <c r="F2" s="1">
        <v>3</v>
      </c>
      <c r="G2" s="1">
        <f t="shared" ref="G2:G7" si="2">F2/7*100</f>
        <v>42.857142857142854</v>
      </c>
      <c r="H2" s="1">
        <v>4</v>
      </c>
      <c r="I2" s="1">
        <f t="shared" ref="I2:I7" si="3">H2/8*100</f>
        <v>50</v>
      </c>
      <c r="J2" s="1">
        <v>5</v>
      </c>
      <c r="K2" s="1">
        <v>3</v>
      </c>
      <c r="L2" s="1">
        <v>5</v>
      </c>
      <c r="M2" s="1">
        <v>1</v>
      </c>
      <c r="N2" s="1">
        <v>5</v>
      </c>
      <c r="O2" s="1">
        <v>1</v>
      </c>
      <c r="P2" s="1">
        <v>4</v>
      </c>
      <c r="Q2" s="1">
        <v>1</v>
      </c>
      <c r="R2" s="1">
        <v>5</v>
      </c>
      <c r="S2" s="1">
        <v>2</v>
      </c>
      <c r="T2" s="1">
        <f t="shared" ref="T2:T7" si="4">(SUM(J2,L2,N2,P2,R2)-5+(25-SUM(K2,M2,O2,Q2,S2)))*2.5</f>
        <v>90</v>
      </c>
      <c r="U2" s="1">
        <v>2</v>
      </c>
      <c r="V2" s="1">
        <v>5</v>
      </c>
      <c r="W2" s="1">
        <f t="shared" ref="W2:W7" si="5">(V2-U2)/V2</f>
        <v>0.6</v>
      </c>
    </row>
    <row r="3" spans="1:23" x14ac:dyDescent="0.2">
      <c r="A3" s="1" t="s">
        <v>24</v>
      </c>
      <c r="B3" s="1">
        <v>6</v>
      </c>
      <c r="C3" s="1">
        <f t="shared" si="0"/>
        <v>85.714285714285708</v>
      </c>
      <c r="D3" s="1">
        <v>6</v>
      </c>
      <c r="E3" s="1">
        <f t="shared" si="1"/>
        <v>75</v>
      </c>
      <c r="F3" s="1">
        <v>4</v>
      </c>
      <c r="G3" s="1">
        <f t="shared" si="2"/>
        <v>57.142857142857139</v>
      </c>
      <c r="H3" s="1">
        <v>6</v>
      </c>
      <c r="I3" s="1">
        <f t="shared" si="3"/>
        <v>75</v>
      </c>
      <c r="J3" s="1">
        <v>5</v>
      </c>
      <c r="K3" s="1">
        <v>1</v>
      </c>
      <c r="L3" s="1">
        <v>5</v>
      </c>
      <c r="M3" s="1">
        <v>2</v>
      </c>
      <c r="N3" s="1">
        <v>5</v>
      </c>
      <c r="O3" s="1">
        <v>1</v>
      </c>
      <c r="P3" s="1">
        <v>5</v>
      </c>
      <c r="Q3" s="1">
        <v>2</v>
      </c>
      <c r="R3" s="1">
        <v>4</v>
      </c>
      <c r="S3" s="1">
        <v>1</v>
      </c>
      <c r="T3" s="1">
        <f t="shared" si="4"/>
        <v>92.5</v>
      </c>
      <c r="U3" s="1">
        <v>5</v>
      </c>
      <c r="V3" s="1">
        <v>8</v>
      </c>
      <c r="W3" s="1">
        <f t="shared" si="5"/>
        <v>0.375</v>
      </c>
    </row>
    <row r="4" spans="1:23" x14ac:dyDescent="0.2">
      <c r="A4" s="1" t="s">
        <v>24</v>
      </c>
      <c r="B4" s="1">
        <v>5</v>
      </c>
      <c r="C4" s="1">
        <f t="shared" si="0"/>
        <v>71.428571428571431</v>
      </c>
      <c r="D4" s="1">
        <v>4</v>
      </c>
      <c r="E4" s="1">
        <f t="shared" si="1"/>
        <v>50</v>
      </c>
      <c r="F4" s="1">
        <v>5</v>
      </c>
      <c r="G4" s="1">
        <f t="shared" si="2"/>
        <v>71.428571428571431</v>
      </c>
      <c r="H4" s="1">
        <v>3</v>
      </c>
      <c r="I4" s="1">
        <f t="shared" si="3"/>
        <v>37.5</v>
      </c>
      <c r="J4" s="1">
        <v>4</v>
      </c>
      <c r="K4" s="1">
        <v>3</v>
      </c>
      <c r="L4" s="1">
        <v>5</v>
      </c>
      <c r="M4" s="1">
        <v>4</v>
      </c>
      <c r="N4" s="1">
        <v>5</v>
      </c>
      <c r="O4" s="1">
        <v>2</v>
      </c>
      <c r="P4" s="1">
        <v>4</v>
      </c>
      <c r="Q4" s="1">
        <v>1</v>
      </c>
      <c r="R4" s="1">
        <v>3</v>
      </c>
      <c r="S4" s="1">
        <v>4</v>
      </c>
      <c r="T4" s="1">
        <f t="shared" si="4"/>
        <v>67.5</v>
      </c>
      <c r="U4" s="1">
        <v>4</v>
      </c>
      <c r="V4" s="1">
        <v>5</v>
      </c>
      <c r="W4" s="1">
        <f t="shared" si="5"/>
        <v>0.2</v>
      </c>
    </row>
    <row r="5" spans="1:23" x14ac:dyDescent="0.2">
      <c r="A5" s="1" t="s">
        <v>24</v>
      </c>
      <c r="B5" s="1">
        <v>4</v>
      </c>
      <c r="C5" s="1">
        <f t="shared" si="0"/>
        <v>57.142857142857139</v>
      </c>
      <c r="D5" s="1">
        <v>6</v>
      </c>
      <c r="E5" s="1">
        <f t="shared" si="1"/>
        <v>75</v>
      </c>
      <c r="F5" s="1">
        <v>4</v>
      </c>
      <c r="G5" s="1">
        <f t="shared" si="2"/>
        <v>57.142857142857139</v>
      </c>
      <c r="H5" s="1">
        <v>7</v>
      </c>
      <c r="I5" s="1">
        <f t="shared" si="3"/>
        <v>87.5</v>
      </c>
      <c r="J5" s="1">
        <v>5</v>
      </c>
      <c r="K5" s="1">
        <v>1</v>
      </c>
      <c r="L5" s="1">
        <v>5</v>
      </c>
      <c r="M5" s="1">
        <v>1</v>
      </c>
      <c r="N5" s="1">
        <v>5</v>
      </c>
      <c r="O5" s="1">
        <v>1</v>
      </c>
      <c r="P5" s="1">
        <v>5</v>
      </c>
      <c r="Q5" s="1">
        <v>2</v>
      </c>
      <c r="R5" s="1">
        <v>5</v>
      </c>
      <c r="S5" s="1">
        <v>1</v>
      </c>
      <c r="T5" s="1">
        <f t="shared" si="4"/>
        <v>97.5</v>
      </c>
      <c r="U5" s="1">
        <v>4</v>
      </c>
      <c r="V5" s="1">
        <v>9</v>
      </c>
      <c r="W5" s="1">
        <f t="shared" si="5"/>
        <v>0.55555555555555558</v>
      </c>
    </row>
    <row r="6" spans="1:23" x14ac:dyDescent="0.2">
      <c r="A6" s="1" t="s">
        <v>24</v>
      </c>
      <c r="B6" s="1">
        <v>5</v>
      </c>
      <c r="C6" s="1">
        <f t="shared" si="0"/>
        <v>71.428571428571431</v>
      </c>
      <c r="D6" s="1">
        <v>6</v>
      </c>
      <c r="E6" s="1">
        <f t="shared" si="1"/>
        <v>75</v>
      </c>
      <c r="F6" s="1">
        <v>4</v>
      </c>
      <c r="G6" s="1">
        <f t="shared" si="2"/>
        <v>57.142857142857139</v>
      </c>
      <c r="H6" s="1">
        <v>6</v>
      </c>
      <c r="I6" s="1">
        <f t="shared" si="3"/>
        <v>75</v>
      </c>
      <c r="J6" s="1">
        <v>5</v>
      </c>
      <c r="K6" s="1">
        <v>1</v>
      </c>
      <c r="L6" s="1">
        <v>5</v>
      </c>
      <c r="M6" s="1">
        <v>2</v>
      </c>
      <c r="N6" s="1">
        <v>5</v>
      </c>
      <c r="O6" s="1">
        <v>1</v>
      </c>
      <c r="P6" s="1">
        <v>5</v>
      </c>
      <c r="Q6" s="1">
        <v>1</v>
      </c>
      <c r="R6" s="1">
        <v>5</v>
      </c>
      <c r="S6" s="1">
        <v>1</v>
      </c>
      <c r="T6" s="1">
        <f t="shared" si="4"/>
        <v>97.5</v>
      </c>
      <c r="U6" s="1">
        <v>5</v>
      </c>
      <c r="V6" s="1">
        <v>9</v>
      </c>
      <c r="W6" s="1">
        <f t="shared" si="5"/>
        <v>0.44444444444444442</v>
      </c>
    </row>
    <row r="7" spans="1:23" x14ac:dyDescent="0.2">
      <c r="A7" s="1" t="s">
        <v>24</v>
      </c>
      <c r="B7" s="1">
        <v>2</v>
      </c>
      <c r="C7" s="1">
        <f t="shared" si="0"/>
        <v>28.571428571428569</v>
      </c>
      <c r="D7" s="1">
        <v>4</v>
      </c>
      <c r="E7" s="1">
        <f t="shared" si="1"/>
        <v>50</v>
      </c>
      <c r="F7" s="1">
        <v>3</v>
      </c>
      <c r="G7" s="1">
        <f t="shared" si="2"/>
        <v>42.857142857142854</v>
      </c>
      <c r="H7" s="1">
        <v>4</v>
      </c>
      <c r="I7" s="1">
        <f t="shared" si="3"/>
        <v>50</v>
      </c>
      <c r="J7" s="1">
        <v>5</v>
      </c>
      <c r="K7" s="1">
        <v>1</v>
      </c>
      <c r="L7" s="1">
        <v>4</v>
      </c>
      <c r="M7" s="1">
        <v>2</v>
      </c>
      <c r="N7" s="1">
        <v>5</v>
      </c>
      <c r="O7" s="1">
        <v>1</v>
      </c>
      <c r="P7" s="1">
        <v>5</v>
      </c>
      <c r="Q7" s="1">
        <v>3</v>
      </c>
      <c r="R7" s="1">
        <v>4</v>
      </c>
      <c r="S7" s="1">
        <v>2</v>
      </c>
      <c r="T7" s="1">
        <f t="shared" si="4"/>
        <v>85</v>
      </c>
      <c r="U7" s="1">
        <v>3</v>
      </c>
      <c r="V7" s="1">
        <v>5</v>
      </c>
      <c r="W7" s="1">
        <f t="shared" si="5"/>
        <v>0.4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qingyue Luo</dc:creator>
  <cp:lastModifiedBy>qingyue Luo</cp:lastModifiedBy>
  <dcterms:created xsi:type="dcterms:W3CDTF">2015-06-05T18:19:34Z</dcterms:created>
  <dcterms:modified xsi:type="dcterms:W3CDTF">2025-08-27T15:12:21Z</dcterms:modified>
</cp:coreProperties>
</file>